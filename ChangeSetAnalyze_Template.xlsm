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ENT_STD\CAX\Statistik\JazzRTC\dev\"/>
    </mc:Choice>
  </mc:AlternateContent>
  <bookViews>
    <workbookView xWindow="0" yWindow="0" windowWidth="28800" windowHeight="14280"/>
  </bookViews>
  <sheets>
    <sheet name="General" sheetId="2" r:id="rId1"/>
    <sheet name="File types" sheetId="3" r:id="rId2"/>
    <sheet name="Project Areas" sheetId="5" r:id="rId3"/>
    <sheet name="Data" sheetId="1" r:id="rId4"/>
  </sheets>
  <functionGroups builtInGroupCount="18"/>
  <calcPr calcId="152511"/>
</workbook>
</file>

<file path=xl/calcChain.xml><?xml version="1.0" encoding="utf-8"?>
<calcChain xmlns="http://schemas.openxmlformats.org/spreadsheetml/2006/main">
  <c r="B24" i="2" l="1"/>
  <c r="B23" i="2"/>
  <c r="B22" i="2"/>
  <c r="B21" i="2"/>
  <c r="B16" i="2"/>
  <c r="B13" i="2"/>
  <c r="B15" i="2"/>
  <c r="B14" i="2"/>
  <c r="B20" i="2" l="1"/>
  <c r="B19" i="2"/>
  <c r="B2" i="5"/>
  <c r="C2" i="5"/>
  <c r="B2" i="3"/>
  <c r="C2" i="3"/>
  <c r="B12" i="2" l="1"/>
  <c r="B11" i="2"/>
  <c r="B8" i="2" l="1"/>
</calcChain>
</file>

<file path=xl/sharedStrings.xml><?xml version="1.0" encoding="utf-8"?>
<sst xmlns="http://schemas.openxmlformats.org/spreadsheetml/2006/main" count="30" uniqueCount="27">
  <si>
    <t>.txt</t>
  </si>
  <si>
    <t>PLM</t>
  </si>
  <si>
    <t>Change Sets</t>
  </si>
  <si>
    <t>User</t>
  </si>
  <si>
    <t>Files</t>
  </si>
  <si>
    <t>File types</t>
  </si>
  <si>
    <t>Mbyte content</t>
  </si>
  <si>
    <t>General Information</t>
  </si>
  <si>
    <t>Column1</t>
  </si>
  <si>
    <t>Sum</t>
  </si>
  <si>
    <t>Number</t>
  </si>
  <si>
    <t>Binary approximation</t>
  </si>
  <si>
    <t>White List</t>
  </si>
  <si>
    <t>Project Areas</t>
  </si>
  <si>
    <t>Components</t>
  </si>
  <si>
    <t>Total size of 'Non Binary' files</t>
  </si>
  <si>
    <t>Total size of 'Binary' files</t>
  </si>
  <si>
    <t>Number 'Unknown'  files</t>
  </si>
  <si>
    <t>Number 'Non Binary' files</t>
  </si>
  <si>
    <t>Number 'Binary' files</t>
  </si>
  <si>
    <t>Total size of 'Restricted' files</t>
  </si>
  <si>
    <t>Number of 'Restricted'  files</t>
  </si>
  <si>
    <t>Number of 'Not Restricted' files</t>
  </si>
  <si>
    <t>Number of files with 'Unknown' restriction</t>
  </si>
  <si>
    <t>Total size of 'Not Restricted' files</t>
  </si>
  <si>
    <t>Total size of 'Unknwon' files</t>
  </si>
  <si>
    <t>Total size of files with 'Unknown' restriction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</si>
</sst>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0" fillId="31" borderId="0" xfId="40" applyFont="1" applyBorder="1"/>
    <xf numFmtId="0" fontId="0" fillId="30" borderId="0" xfId="39" applyFont="1" applyBorder="1"/>
    <xf numFmtId="49" fontId="0" fillId="0" borderId="0" xfId="0" applyNumberFormat="1"/>
    <xf numFmtId="0" fontId="0" fillId="0" borderId="0" xfId="0" applyNumberFormat="1"/>
    <xf numFmtId="3" fontId="1" fillId="31" borderId="0" xfId="40" applyNumberFormat="1" applyFont="1" applyBorder="1"/>
    <xf numFmtId="3" fontId="1" fillId="30" borderId="0" xfId="39" applyNumberFormat="1" applyFont="1" applyBorder="1"/>
    <xf numFmtId="3" fontId="0" fillId="0" borderId="0" xfId="0" applyNumberFormat="1"/>
    <xf numFmtId="0" fontId="13" fillId="29" borderId="0" xfId="38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25</xdr:row>
          <xdr:rowOff>114300</xdr:rowOff>
        </xdr:from>
        <xdr:to>
          <xdr:col>1</xdr:col>
          <xdr:colOff>742950</xdr:colOff>
          <xdr:row>27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Statistics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C2" totalsRowShown="0">
  <autoFilter ref="A1:C2"/>
  <sortState ref="A2:C934">
    <sortCondition descending="1" ref="B1:B934"/>
  </sortState>
  <tableColumns count="3">
    <tableColumn id="1" name="Column1"/>
    <tableColumn id="2" name="Sum" dataDxfId="4">
      <calculatedColumnFormula>SUMIF(Data!F:F,A2,Data!G:G)</calculatedColumnFormula>
    </tableColumn>
    <tableColumn id="3" name="Number" dataDxfId="3">
      <calculatedColumnFormula>COUNTIF(Data!F:F,A2)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1:C2" totalsRowShown="0">
  <autoFilter ref="A1:C2"/>
  <sortState ref="A2:C50">
    <sortCondition descending="1" ref="B1:B50"/>
  </sortState>
  <tableColumns count="3">
    <tableColumn id="1" name="Column1" dataDxfId="2"/>
    <tableColumn id="2" name="Sum" dataDxfId="1">
      <calculatedColumnFormula>SUMIF(Data!C:C,A2,Data!G:G)</calculatedColumnFormula>
    </tableColumn>
    <tableColumn id="3" name="Number" dataDxfId="0">
      <calculatedColumnFormula>COUNTIF(Data!C:C,A2)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64"/>
  <sheetViews>
    <sheetView tabSelected="1" workbookViewId="0">
      <selection activeCell="C1" sqref="C1"/>
    </sheetView>
  </sheetViews>
  <sheetFormatPr defaultRowHeight="12.75" x14ac:dyDescent="0.2"/>
  <cols>
    <col min="1" max="1" width="39" customWidth="1"/>
    <col min="2" max="2" width="15.28515625" style="7" customWidth="1"/>
  </cols>
  <sheetData>
    <row r="1" spans="1:2" ht="20.25" customHeight="1" x14ac:dyDescent="0.2">
      <c r="A1" s="8" t="s">
        <v>7</v>
      </c>
      <c r="B1" s="8"/>
    </row>
    <row r="2" spans="1:2" ht="20.25" customHeight="1" x14ac:dyDescent="0.2">
      <c r="A2" s="1" t="s">
        <v>13</v>
      </c>
      <c r="B2" s="5">
        <v>0</v>
      </c>
    </row>
    <row r="3" spans="1:2" ht="20.25" customHeight="1" x14ac:dyDescent="0.2">
      <c r="A3" s="2" t="s">
        <v>14</v>
      </c>
      <c r="B3" s="6">
        <v>0</v>
      </c>
    </row>
    <row r="4" spans="1:2" ht="20.25" customHeight="1" x14ac:dyDescent="0.2">
      <c r="A4" s="1" t="s">
        <v>2</v>
      </c>
      <c r="B4" s="5">
        <v>0</v>
      </c>
    </row>
    <row r="5" spans="1:2" ht="20.25" customHeight="1" x14ac:dyDescent="0.2">
      <c r="A5" s="2" t="s">
        <v>3</v>
      </c>
      <c r="B5" s="6">
        <v>0</v>
      </c>
    </row>
    <row r="6" spans="1:2" ht="20.25" customHeight="1" x14ac:dyDescent="0.2">
      <c r="A6" s="1" t="s">
        <v>4</v>
      </c>
      <c r="B6" s="5">
        <v>0</v>
      </c>
    </row>
    <row r="7" spans="1:2" ht="20.25" customHeight="1" x14ac:dyDescent="0.2">
      <c r="A7" s="2" t="s">
        <v>5</v>
      </c>
      <c r="B7" s="6">
        <v>0</v>
      </c>
    </row>
    <row r="8" spans="1:2" ht="20.25" customHeight="1" x14ac:dyDescent="0.2">
      <c r="A8" s="1" t="s">
        <v>6</v>
      </c>
      <c r="B8" s="5">
        <f>SUM('File types'!B:B)/(1024*1024)</f>
        <v>0</v>
      </c>
    </row>
    <row r="9" spans="1:2" ht="20.25" customHeight="1" x14ac:dyDescent="0.2"/>
    <row r="10" spans="1:2" ht="20.25" customHeight="1" x14ac:dyDescent="0.2">
      <c r="A10" s="8" t="s">
        <v>11</v>
      </c>
      <c r="B10" s="8"/>
    </row>
    <row r="11" spans="1:2" ht="20.25" customHeight="1" x14ac:dyDescent="0.2">
      <c r="A11" s="1" t="s">
        <v>19</v>
      </c>
      <c r="B11" s="5">
        <f>COUNTIF(Data!I:I,"Binary")</f>
        <v>0</v>
      </c>
    </row>
    <row r="12" spans="1:2" ht="20.25" customHeight="1" x14ac:dyDescent="0.2">
      <c r="A12" s="2" t="s">
        <v>18</v>
      </c>
      <c r="B12" s="6">
        <f>COUNTIF(Data!I:I,"Non binary")</f>
        <v>0</v>
      </c>
    </row>
    <row r="13" spans="1:2" ht="20.25" customHeight="1" x14ac:dyDescent="0.2">
      <c r="A13" s="1" t="s">
        <v>17</v>
      </c>
      <c r="B13" s="5">
        <f>COUNTIF(Data!I:I,"Unknown")</f>
        <v>0</v>
      </c>
    </row>
    <row r="14" spans="1:2" ht="20.25" customHeight="1" x14ac:dyDescent="0.2">
      <c r="A14" s="2" t="s">
        <v>16</v>
      </c>
      <c r="B14" s="6">
        <f>SUMIF(Data!I:I,"Binary",Data!G:G)</f>
        <v>0</v>
      </c>
    </row>
    <row r="15" spans="1:2" ht="20.25" customHeight="1" x14ac:dyDescent="0.2">
      <c r="A15" s="1" t="s">
        <v>15</v>
      </c>
      <c r="B15" s="5">
        <f>SUMIF(Data!I:I,"Non Binary",Data!G:G)</f>
        <v>0</v>
      </c>
    </row>
    <row r="16" spans="1:2" ht="20.25" customHeight="1" x14ac:dyDescent="0.2">
      <c r="A16" s="2" t="s">
        <v>25</v>
      </c>
      <c r="B16" s="6">
        <f>SUMIF(Data!I:I,"Unknown",Data!G:G)</f>
        <v>0</v>
      </c>
    </row>
    <row r="17" spans="1:2" ht="20.25" customHeight="1" x14ac:dyDescent="0.2"/>
    <row r="18" spans="1:2" ht="20.25" customHeight="1" x14ac:dyDescent="0.2">
      <c r="A18" s="8" t="s">
        <v>12</v>
      </c>
      <c r="B18" s="8"/>
    </row>
    <row r="19" spans="1:2" ht="20.25" customHeight="1" x14ac:dyDescent="0.2">
      <c r="A19" s="1" t="s">
        <v>21</v>
      </c>
      <c r="B19" s="5">
        <f>COUNTIF(Data!J:J,"TRUE")</f>
        <v>0</v>
      </c>
    </row>
    <row r="20" spans="1:2" ht="20.25" customHeight="1" x14ac:dyDescent="0.2">
      <c r="A20" s="2" t="s">
        <v>22</v>
      </c>
      <c r="B20" s="6">
        <f>COUNTIF(Data!J:J,"FALSE")</f>
        <v>0</v>
      </c>
    </row>
    <row r="21" spans="1:2" ht="20.25" customHeight="1" x14ac:dyDescent="0.2">
      <c r="A21" s="1" t="s">
        <v>23</v>
      </c>
      <c r="B21" s="5">
        <f>COUNTIF(Data!J:J,"unknown")</f>
        <v>0</v>
      </c>
    </row>
    <row r="22" spans="1:2" ht="20.25" customHeight="1" x14ac:dyDescent="0.2">
      <c r="A22" s="2" t="s">
        <v>20</v>
      </c>
      <c r="B22" s="6">
        <f>SUMIF(Data!J:J,"TRUE",Data!G:G)</f>
        <v>0</v>
      </c>
    </row>
    <row r="23" spans="1:2" ht="20.25" customHeight="1" x14ac:dyDescent="0.2">
      <c r="A23" s="1" t="s">
        <v>24</v>
      </c>
      <c r="B23" s="5">
        <f>SUMIF(Data!J:J,"FALSE",Data!G:G)</f>
        <v>0</v>
      </c>
    </row>
    <row r="24" spans="1:2" ht="20.25" customHeight="1" x14ac:dyDescent="0.2">
      <c r="A24" s="2" t="s">
        <v>26</v>
      </c>
      <c r="B24" s="6">
        <f>SUMIF(Data!J:J,"unknown",Data!G:G)</f>
        <v>0</v>
      </c>
    </row>
    <row r="25" spans="1:2" ht="20.25" customHeight="1" x14ac:dyDescent="0.2"/>
    <row r="26" spans="1:2" ht="20.25" customHeight="1" x14ac:dyDescent="0.2"/>
    <row r="27" spans="1:2" ht="20.25" customHeight="1" x14ac:dyDescent="0.2"/>
    <row r="28" spans="1:2" ht="20.25" customHeight="1" x14ac:dyDescent="0.2"/>
    <row r="29" spans="1:2" ht="20.25" customHeight="1" x14ac:dyDescent="0.2"/>
    <row r="30" spans="1:2" ht="20.25" customHeight="1" x14ac:dyDescent="0.2"/>
    <row r="31" spans="1:2" ht="20.25" customHeight="1" x14ac:dyDescent="0.2"/>
    <row r="32" spans="1:2" ht="20.25" customHeight="1" x14ac:dyDescent="0.2"/>
    <row r="33" ht="20.25" customHeight="1" x14ac:dyDescent="0.2"/>
    <row r="34" ht="20.25" customHeight="1" x14ac:dyDescent="0.2"/>
    <row r="35" ht="20.25" customHeight="1" x14ac:dyDescent="0.2"/>
    <row r="36" ht="20.25" customHeight="1" x14ac:dyDescent="0.2"/>
    <row r="37" ht="20.25" customHeight="1" x14ac:dyDescent="0.2"/>
    <row r="38" ht="20.25" customHeight="1" x14ac:dyDescent="0.2"/>
    <row r="39" ht="20.25" customHeight="1" x14ac:dyDescent="0.2"/>
    <row r="40" ht="20.25" customHeight="1" x14ac:dyDescent="0.2"/>
    <row r="41" ht="20.25" customHeight="1" x14ac:dyDescent="0.2"/>
    <row r="42" ht="20.25" customHeight="1" x14ac:dyDescent="0.2"/>
    <row r="43" ht="20.25" customHeight="1" x14ac:dyDescent="0.2"/>
    <row r="44" ht="20.25" customHeight="1" x14ac:dyDescent="0.2"/>
    <row r="45" ht="20.25" customHeight="1" x14ac:dyDescent="0.2"/>
    <row r="46" ht="20.25" customHeight="1" x14ac:dyDescent="0.2"/>
    <row r="47" ht="20.25" customHeight="1" x14ac:dyDescent="0.2"/>
    <row r="48" ht="20.25" customHeight="1" x14ac:dyDescent="0.2"/>
    <row r="49" ht="20.25" customHeight="1" x14ac:dyDescent="0.2"/>
    <row r="50" ht="20.25" customHeight="1" x14ac:dyDescent="0.2"/>
    <row r="51" ht="20.25" customHeight="1" x14ac:dyDescent="0.2"/>
    <row r="52" ht="20.25" customHeight="1" x14ac:dyDescent="0.2"/>
    <row r="53" ht="20.25" customHeight="1" x14ac:dyDescent="0.2"/>
    <row r="54" ht="20.25" customHeight="1" x14ac:dyDescent="0.2"/>
    <row r="55" ht="20.25" customHeight="1" x14ac:dyDescent="0.2"/>
    <row r="56" ht="20.25" customHeight="1" x14ac:dyDescent="0.2"/>
    <row r="57" ht="20.25" customHeight="1" x14ac:dyDescent="0.2"/>
    <row r="58" ht="20.25" customHeight="1" x14ac:dyDescent="0.2"/>
    <row r="59" ht="20.25" customHeight="1" x14ac:dyDescent="0.2"/>
    <row r="60" ht="20.25" customHeight="1" x14ac:dyDescent="0.2"/>
    <row r="61" ht="20.25" customHeight="1" x14ac:dyDescent="0.2"/>
    <row r="62" ht="20.25" customHeight="1" x14ac:dyDescent="0.2"/>
    <row r="63" ht="20.25" customHeight="1" x14ac:dyDescent="0.2"/>
    <row r="64" ht="20.25" customHeight="1" x14ac:dyDescent="0.2"/>
  </sheetData>
  <mergeCells count="3">
    <mergeCell ref="A1:B1"/>
    <mergeCell ref="A10:B10"/>
    <mergeCell ref="A18:B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te">
                <anchor moveWithCells="1" sizeWithCells="1">
                  <from>
                    <xdr:col>0</xdr:col>
                    <xdr:colOff>247650</xdr:colOff>
                    <xdr:row>25</xdr:row>
                    <xdr:rowOff>114300</xdr:rowOff>
                  </from>
                  <to>
                    <xdr:col>1</xdr:col>
                    <xdr:colOff>742950</xdr:colOff>
                    <xdr:row>27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A3" sqref="A3"/>
    </sheetView>
  </sheetViews>
  <sheetFormatPr defaultRowHeight="12.75" x14ac:dyDescent="0.2"/>
  <cols>
    <col min="1" max="1" width="27" customWidth="1"/>
    <col min="2" max="2" width="15" customWidth="1"/>
    <col min="3" max="3" width="13.42578125" customWidth="1"/>
  </cols>
  <sheetData>
    <row r="1" spans="1:3" x14ac:dyDescent="0.2">
      <c r="A1" t="s">
        <v>8</v>
      </c>
      <c r="B1" t="s">
        <v>9</v>
      </c>
      <c r="C1" t="s">
        <v>10</v>
      </c>
    </row>
    <row r="2" spans="1:3" x14ac:dyDescent="0.2">
      <c r="A2" t="s">
        <v>0</v>
      </c>
      <c r="B2" s="4">
        <f>SUMIF(Data!F:F,A2,Data!G:G)</f>
        <v>0</v>
      </c>
      <c r="C2" s="4">
        <f>COUNTIF(Data!F:F,A2)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>
      <selection activeCell="A3" sqref="A3"/>
    </sheetView>
  </sheetViews>
  <sheetFormatPr defaultRowHeight="12.75" x14ac:dyDescent="0.2"/>
  <cols>
    <col min="1" max="1" width="15.85546875" style="3" customWidth="1"/>
    <col min="2" max="2" width="15.42578125" customWidth="1"/>
  </cols>
  <sheetData>
    <row r="1" spans="1:3" x14ac:dyDescent="0.2">
      <c r="A1" s="3" t="s">
        <v>8</v>
      </c>
      <c r="B1" t="s">
        <v>9</v>
      </c>
      <c r="C1" t="s">
        <v>10</v>
      </c>
    </row>
    <row r="2" spans="1:3" x14ac:dyDescent="0.2">
      <c r="A2" s="3" t="s">
        <v>1</v>
      </c>
      <c r="B2" s="4">
        <f>SUMIF(Data!C:C,A2,Data!G:G)</f>
        <v>0</v>
      </c>
      <c r="C2" s="4">
        <f>COUNTIF(Data!C:C,A2)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6" sqref="C6"/>
    </sheetView>
  </sheetViews>
  <sheetFormatPr defaultRowHeight="12.75" x14ac:dyDescent="0.2"/>
  <cols>
    <col min="1" max="1" width="15.140625" customWidth="1"/>
    <col min="2" max="2" width="13.140625" customWidth="1"/>
    <col min="3" max="3" width="19" customWidth="1"/>
    <col min="4" max="4" width="19.28515625" customWidth="1"/>
    <col min="5" max="5" width="12.140625" customWidth="1"/>
    <col min="6" max="6" width="10.7109375" customWidth="1"/>
    <col min="7" max="7" width="11.5703125" customWidth="1"/>
    <col min="8" max="8" width="15" customWidth="1"/>
    <col min="9" max="9" width="14.7109375" customWidth="1"/>
    <col min="10" max="10" width="13.42578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General</vt:lpstr>
      <vt:lpstr>File types</vt:lpstr>
      <vt:lpstr>Project Areas</vt:lpstr>
      <vt:lpstr>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Wassermann Martin 6DSE</dc:creator>
  <cp:lastModifiedBy>Wassermann Martin GF-DE</cp:lastModifiedBy>
  <dcterms:created xsi:type="dcterms:W3CDTF">2015-12-15T11:49:56Z</dcterms:created>
  <dcterms:modified xsi:type="dcterms:W3CDTF">2016-03-01T08:34:03Z</dcterms:modified>
</cp:coreProperties>
</file>